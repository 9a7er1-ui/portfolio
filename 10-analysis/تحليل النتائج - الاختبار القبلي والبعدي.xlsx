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درجات" sheetId="1" state="visible" r:id="rId3"/>
    <sheet name="التحلي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<sst xmlns="http://schemas.openxmlformats.org/spreadsheetml/2006/main" count="31" uniqueCount="31">
  <si>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تحليل نتائج الاختبار التشخيصي (القبلي والبعدي) — التلاوة والتجويد — الصف الأول المتوسط</t>
  </si>
  <si>
    <t xml:space="preserve">أدخل الدرجات في الخلايا الصفراء فقط، والباقي يُحسب تلقائياً. استخدم رقم الطالب لا اسمه. الصف الأول مثال يمكن حذف درجاته.</t>
  </si>
  <si>
    <t xml:space="preserve">رقم الطالب</t>
  </si>
  <si>
    <t xml:space="preserve">القبلي: التلاوة (من ١٠)</t>
  </si>
  <si>
    <t xml:space="preserve">القبلي: التحريري (من ١٠)</t>
  </si>
  <si>
    <t xml:space="preserve">مجموع القبلي (من ٢٠)</t>
  </si>
  <si>
    <t xml:space="preserve">مستوى القبلي</t>
  </si>
  <si>
    <t xml:space="preserve">البعدي: التلاوة (من ١٠)</t>
  </si>
  <si>
    <t xml:space="preserve">البعدي: التحريري (من ١٠)</t>
  </si>
  <si>
    <t xml:space="preserve">مجموع البعدي (من ٢٠)</t>
  </si>
  <si>
    <t xml:space="preserve">مستوى البعدي</t>
  </si>
  <si>
    <t xml:space="preserve">مقدار التحسن</t>
  </si>
  <si>
    <t xml:space="preserve">ملخص التحليل</t>
  </si>
  <si>
    <t xml:space="preserve">المستوى</t>
  </si>
  <si>
    <t xml:space="preserve">عدد الطلاب: القبلي</t>
  </si>
  <si>
    <t xml:space="preserve">عدد الطلاب: البعدي</t>
  </si>
  <si>
    <t xml:space="preserve">التغير</t>
  </si>
  <si>
    <t xml:space="preserve">متقدم</t>
  </si>
  <si>
    <t xml:space="preserve">متوسط</t>
  </si>
  <si>
    <t xml:space="preserve">يحتاج إلى دعم</t>
  </si>
  <si>
    <t xml:space="preserve">المجموع</t>
  </si>
  <si>
    <t xml:space="preserve">المؤشر</t>
  </si>
  <si>
    <t xml:space="preserve">القبلي</t>
  </si>
  <si>
    <t xml:space="preserve">البعدي</t>
  </si>
  <si>
    <t xml:space="preserve">متوسط الدرجة (من ٢٠)</t>
  </si>
  <si>
    <t xml:space="preserve">أعلى درجة</t>
  </si>
  <si>
    <t xml:space="preserve">أدنى درجة</t>
  </si>
  <si>
    <t xml:space="preserve">متوسط التلاوة (من ١٠)</t>
  </si>
  <si>
    <t xml:space="preserve">متوسط التحريري (من ١٠)</t>
  </si>
  <si>
    <t xml:space="preserve">نسبة المتقدم والمتوسط</t>
  </si>
  <si>
    <t xml:space="preserve">تُحسب كل الأرقام من ورقة «الدرجات» تلقائياً.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</si>
</sst>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5C"/>
      <name val="Arial"/>
      <family val="0"/>
      <charset val="1"/>
    </font>
    <font>
      <sz val="10"/>
      <color rgb="FF7A5A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7A8A85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  <fill>
      <patternFill patternType="solid">
        <fgColor rgb="FFFFF8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5"/>
      </left>
      <right style="thin">
        <color rgb="FFBFC9C5"/>
      </right>
      <top style="thin">
        <color rgb="FFBFC9C5"/>
      </top>
      <bottom style="thin">
        <color rgb="FFBFC9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A12"/>
      <rgbColor rgb="FF800080"/>
      <rgbColor rgb="FF1F6F5C"/>
      <rgbColor rgb="FFBFC9C5"/>
      <rgbColor rgb="FF878787"/>
      <rgbColor rgb="FF9999FF"/>
      <rgbColor rgb="FFC0504D"/>
      <rgbColor rgb="FFFFF8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7A8A8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الطلاب على المستويات: القبلي والبعدي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التحليل!B3</c:f>
              <c:strCache>
                <c:ptCount val="1"/>
                <c:pt idx="0">
                  <c:v>عدد الطلاب: القبلي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التحليل!$A$4:$A$6</c:f>
              <c:strCache>
                <c:ptCount val="3"/>
                <c:pt idx="0">
                  <c:v>متقدم</c:v>
                </c:pt>
                <c:pt idx="1">
                  <c:v>متوسط</c:v>
                </c:pt>
                <c:pt idx="2">
                  <c:v>يحتاج إلى دعم</c:v>
                </c:pt>
              </c:strCache>
            </c:strRef>
          </c:cat>
          <c:val>
            <c:numRef>
              <c:f>التحليل!$B$4:$B$6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التحليل!C3</c:f>
              <c:strCache>
                <c:ptCount val="1"/>
                <c:pt idx="0">
                  <c:v>عدد الطلاب: البعدي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التحليل!$A$4:$A$6</c:f>
              <c:strCache>
                <c:ptCount val="3"/>
                <c:pt idx="0">
                  <c:v>متقدم</c:v>
                </c:pt>
                <c:pt idx="1">
                  <c:v>متوسط</c:v>
                </c:pt>
                <c:pt idx="2">
                  <c:v>يحتاج إلى دعم</c:v>
                </c:pt>
              </c:strCache>
            </c:strRef>
          </c:cat>
          <c:val>
            <c:numRef>
              <c:f>التحليل!$C$4:$C$6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9582774"/>
        <c:axId val="1069070"/>
      </c:barChart>
      <c:catAx>
        <c:axId val="89582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9070"/>
        <c:crosses val="autoZero"/>
        <c:auto val="1"/>
        <c:lblAlgn val="ctr"/>
        <c:lblOffset val="100"/>
        <c:noMultiLvlLbl val="0"/>
      </c:catAx>
      <c:valAx>
        <c:axId val="1069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عدد الطلاب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5827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-255960</xdr:colOff>
      <xdr:row>1</xdr:row>
      <xdr:rowOff>160560</xdr:rowOff>
    </xdr:from>
    <xdr:to>
      <xdr:col>14</xdr:col>
      <xdr:colOff>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-1186884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9" min="2" style="0" width="15"/>
    <col collapsed="false" customWidth="true" hidden="false" outlineLevel="0" max="10" min="10" style="0" width="13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5" t="n">
        <v>6</v>
      </c>
      <c r="C5" s="5" t="n">
        <v>4</v>
      </c>
      <c r="D5" s="4" t="n">
        <f aca="false">IF(COUNT(B5:C5)=0,"",SUM(B5:C5))</f>
        <v>10</v>
      </c>
      <c r="E5" s="4" t="str">
        <f aca="false">IF(D5="","",IF(D5&gt;=17,"متقدم",IF(D5&gt;=12,"متوسط","يحتاج إلى دعم")))</f>
        <v>يحتاج إلى دعم</v>
      </c>
      <c r="F5" s="5" t="n">
        <v>8</v>
      </c>
      <c r="G5" s="5" t="n">
        <v>7</v>
      </c>
      <c r="H5" s="4" t="n">
        <f aca="false">IF(COUNT(F5:G5)=0,"",SUM(F5:G5))</f>
        <v>15</v>
      </c>
      <c r="I5" s="4" t="str">
        <f aca="false">IF(H5="","",IF(H5&gt;=17,"متقدم",IF(H5&gt;=12,"متوسط","يحتاج إلى دعم")))</f>
        <v>متوسط</v>
      </c>
      <c r="J5" s="4" t="n">
        <f aca="false">IF(OR(D5="",H5=""),"",H5-D5)</f>
        <v>5</v>
      </c>
    </row>
    <row r="6" customFormat="false" ht="15" hidden="false" customHeight="false" outlineLevel="0" collapsed="false">
      <c r="A6" s="4" t="n">
        <v>2</v>
      </c>
      <c r="B6" s="5"/>
      <c r="C6" s="5"/>
      <c r="D6" s="4" t="str">
        <f aca="false">IF(COUNT(B6:C6)=0,"",SUM(B6:C6))</f>
        <v/>
      </c>
      <c r="E6" s="4" t="str">
        <f aca="false">IF(D6="","",IF(D6&gt;=17,"متقدم",IF(D6&gt;=12,"متوسط","يحتاج إلى دعم")))</f>
        <v/>
      </c>
      <c r="F6" s="5"/>
      <c r="G6" s="5"/>
      <c r="H6" s="4" t="str">
        <f aca="false">IF(COUNT(F6:G6)=0,"",SUM(F6:G6))</f>
        <v/>
      </c>
      <c r="I6" s="4" t="str">
        <f aca="false">IF(H6="","",IF(H6&gt;=17,"متقدم",IF(H6&gt;=12,"متوسط","يحتاج إلى دعم")))</f>
        <v/>
      </c>
      <c r="J6" s="4" t="str">
        <f aca="false">IF(OR(D6="",H6=""),"",H6-D6)</f>
        <v/>
      </c>
    </row>
    <row r="7" customFormat="false" ht="15" hidden="false" customHeight="false" outlineLevel="0" collapsed="false">
      <c r="A7" s="4" t="n">
        <v>3</v>
      </c>
      <c r="B7" s="5"/>
      <c r="C7" s="5"/>
      <c r="D7" s="4" t="str">
        <f aca="false">IF(COUNT(B7:C7)=0,"",SUM(B7:C7))</f>
        <v/>
      </c>
      <c r="E7" s="4" t="str">
        <f aca="false">IF(D7="","",IF(D7&gt;=17,"متقدم",IF(D7&gt;=12,"متوسط","يحتاج إلى دعم")))</f>
        <v/>
      </c>
      <c r="F7" s="5"/>
      <c r="G7" s="5"/>
      <c r="H7" s="4" t="str">
        <f aca="false">IF(COUNT(F7:G7)=0,"",SUM(F7:G7))</f>
        <v/>
      </c>
      <c r="I7" s="4" t="str">
        <f aca="false">IF(H7="","",IF(H7&gt;=17,"متقدم",IF(H7&gt;=12,"متوسط","يحتاج إلى دعم")))</f>
        <v/>
      </c>
      <c r="J7" s="4" t="str">
        <f aca="false">IF(OR(D7="",H7=""),"",H7-D7)</f>
        <v/>
      </c>
    </row>
    <row r="8" customFormat="false" ht="15" hidden="false" customHeight="false" outlineLevel="0" collapsed="false">
      <c r="A8" s="4" t="n">
        <v>4</v>
      </c>
      <c r="B8" s="5"/>
      <c r="C8" s="5"/>
      <c r="D8" s="4" t="str">
        <f aca="false">IF(COUNT(B8:C8)=0,"",SUM(B8:C8))</f>
        <v/>
      </c>
      <c r="E8" s="4" t="str">
        <f aca="false">IF(D8="","",IF(D8&gt;=17,"متقدم",IF(D8&gt;=12,"متوسط","يحتاج إلى دعم")))</f>
        <v/>
      </c>
      <c r="F8" s="5"/>
      <c r="G8" s="5"/>
      <c r="H8" s="4" t="str">
        <f aca="false">IF(COUNT(F8:G8)=0,"",SUM(F8:G8))</f>
        <v/>
      </c>
      <c r="I8" s="4" t="str">
        <f aca="false">IF(H8="","",IF(H8&gt;=17,"متقدم",IF(H8&gt;=12,"متوسط","يحتاج إلى دعم")))</f>
        <v/>
      </c>
      <c r="J8" s="4" t="str">
        <f aca="false">IF(OR(D8="",H8=""),"",H8-D8)</f>
        <v/>
      </c>
    </row>
    <row r="9" customFormat="false" ht="15" hidden="false" customHeight="false" outlineLevel="0" collapsed="false">
      <c r="A9" s="4" t="n">
        <v>5</v>
      </c>
      <c r="B9" s="5"/>
      <c r="C9" s="5"/>
      <c r="D9" s="4" t="str">
        <f aca="false">IF(COUNT(B9:C9)=0,"",SUM(B9:C9))</f>
        <v/>
      </c>
      <c r="E9" s="4" t="str">
        <f aca="false">IF(D9="","",IF(D9&gt;=17,"متقدم",IF(D9&gt;=12,"متوسط","يحتاج إلى دعم")))</f>
        <v/>
      </c>
      <c r="F9" s="5"/>
      <c r="G9" s="5"/>
      <c r="H9" s="4" t="str">
        <f aca="false">IF(COUNT(F9:G9)=0,"",SUM(F9:G9))</f>
        <v/>
      </c>
      <c r="I9" s="4" t="str">
        <f aca="false">IF(H9="","",IF(H9&gt;=17,"متقدم",IF(H9&gt;=12,"متوسط","يحتاج إلى دعم")))</f>
        <v/>
      </c>
      <c r="J9" s="4" t="str">
        <f aca="false">IF(OR(D9="",H9=""),"",H9-D9)</f>
        <v/>
      </c>
    </row>
    <row r="10" customFormat="false" ht="15" hidden="false" customHeight="false" outlineLevel="0" collapsed="false">
      <c r="A10" s="4" t="n">
        <v>6</v>
      </c>
      <c r="B10" s="5"/>
      <c r="C10" s="5"/>
      <c r="D10" s="4" t="str">
        <f aca="false">IF(COUNT(B10:C10)=0,"",SUM(B10:C10))</f>
        <v/>
      </c>
      <c r="E10" s="4" t="str">
        <f aca="false">IF(D10="","",IF(D10&gt;=17,"متقدم",IF(D10&gt;=12,"متوسط","يحتاج إلى دعم")))</f>
        <v/>
      </c>
      <c r="F10" s="5"/>
      <c r="G10" s="5"/>
      <c r="H10" s="4" t="str">
        <f aca="false">IF(COUNT(F10:G10)=0,"",SUM(F10:G10))</f>
        <v/>
      </c>
      <c r="I10" s="4" t="str">
        <f aca="false">IF(H10="","",IF(H10&gt;=17,"متقدم",IF(H10&gt;=12,"متوسط","يحتاج إلى دعم")))</f>
        <v/>
      </c>
      <c r="J10" s="4" t="str">
        <f aca="false">IF(OR(D10="",H10=""),"",H10-D10)</f>
        <v/>
      </c>
    </row>
    <row r="11" customFormat="false" ht="15" hidden="false" customHeight="false" outlineLevel="0" collapsed="false">
      <c r="A11" s="4" t="n">
        <v>7</v>
      </c>
      <c r="B11" s="5"/>
      <c r="C11" s="5"/>
      <c r="D11" s="4" t="str">
        <f aca="false">IF(COUNT(B11:C11)=0,"",SUM(B11:C11))</f>
        <v/>
      </c>
      <c r="E11" s="4" t="str">
        <f aca="false">IF(D11="","",IF(D11&gt;=17,"متقدم",IF(D11&gt;=12,"متوسط","يحتاج إلى دعم")))</f>
        <v/>
      </c>
      <c r="F11" s="5"/>
      <c r="G11" s="5"/>
      <c r="H11" s="4" t="str">
        <f aca="false">IF(COUNT(F11:G11)=0,"",SUM(F11:G11))</f>
        <v/>
      </c>
      <c r="I11" s="4" t="str">
        <f aca="false">IF(H11="","",IF(H11&gt;=17,"متقدم",IF(H11&gt;=12,"متوسط","يحتاج إلى دعم")))</f>
        <v/>
      </c>
      <c r="J11" s="4" t="str">
        <f aca="false">IF(OR(D11="",H11=""),"",H11-D11)</f>
        <v/>
      </c>
    </row>
    <row r="12" customFormat="false" ht="15" hidden="false" customHeight="false" outlineLevel="0" collapsed="false">
      <c r="A12" s="4" t="n">
        <v>8</v>
      </c>
      <c r="B12" s="5"/>
      <c r="C12" s="5"/>
      <c r="D12" s="4" t="str">
        <f aca="false">IF(COUNT(B12:C12)=0,"",SUM(B12:C12))</f>
        <v/>
      </c>
      <c r="E12" s="4" t="str">
        <f aca="false">IF(D12="","",IF(D12&gt;=17,"متقدم",IF(D12&gt;=12,"متوسط","يحتاج إلى دعم")))</f>
        <v/>
      </c>
      <c r="F12" s="5"/>
      <c r="G12" s="5"/>
      <c r="H12" s="4" t="str">
        <f aca="false">IF(COUNT(F12:G12)=0,"",SUM(F12:G12))</f>
        <v/>
      </c>
      <c r="I12" s="4" t="str">
        <f aca="false">IF(H12="","",IF(H12&gt;=17,"متقدم",IF(H12&gt;=12,"متوسط","يحتاج إلى دعم")))</f>
        <v/>
      </c>
      <c r="J12" s="4" t="str">
        <f aca="false">IF(OR(D12="",H12=""),"",H12-D12)</f>
        <v/>
      </c>
    </row>
    <row r="13" customFormat="false" ht="15" hidden="false" customHeight="false" outlineLevel="0" collapsed="false">
      <c r="A13" s="4" t="n">
        <v>9</v>
      </c>
      <c r="B13" s="5"/>
      <c r="C13" s="5"/>
      <c r="D13" s="4" t="str">
        <f aca="false">IF(COUNT(B13:C13)=0,"",SUM(B13:C13))</f>
        <v/>
      </c>
      <c r="E13" s="4" t="str">
        <f aca="false">IF(D13="","",IF(D13&gt;=17,"متقدم",IF(D13&gt;=12,"متوسط","يحتاج إلى دعم")))</f>
        <v/>
      </c>
      <c r="F13" s="5"/>
      <c r="G13" s="5"/>
      <c r="H13" s="4" t="str">
        <f aca="false">IF(COUNT(F13:G13)=0,"",SUM(F13:G13))</f>
        <v/>
      </c>
      <c r="I13" s="4" t="str">
        <f aca="false">IF(H13="","",IF(H13&gt;=17,"متقدم",IF(H13&gt;=12,"متوسط","يحتاج إلى دعم")))</f>
        <v/>
      </c>
      <c r="J13" s="4" t="str">
        <f aca="false">IF(OR(D13="",H13=""),"",H13-D13)</f>
        <v/>
      </c>
    </row>
    <row r="14" customFormat="false" ht="15" hidden="false" customHeight="false" outlineLevel="0" collapsed="false">
      <c r="A14" s="4" t="n">
        <v>10</v>
      </c>
      <c r="B14" s="5"/>
      <c r="C14" s="5"/>
      <c r="D14" s="4" t="str">
        <f aca="false">IF(COUNT(B14:C14)=0,"",SUM(B14:C14))</f>
        <v/>
      </c>
      <c r="E14" s="4" t="str">
        <f aca="false">IF(D14="","",IF(D14&gt;=17,"متقدم",IF(D14&gt;=12,"متوسط","يحتاج إلى دعم")))</f>
        <v/>
      </c>
      <c r="F14" s="5"/>
      <c r="G14" s="5"/>
      <c r="H14" s="4" t="str">
        <f aca="false">IF(COUNT(F14:G14)=0,"",SUM(F14:G14))</f>
        <v/>
      </c>
      <c r="I14" s="4" t="str">
        <f aca="false">IF(H14="","",IF(H14&gt;=17,"متقدم",IF(H14&gt;=12,"متوسط","يحتاج إلى دعم")))</f>
        <v/>
      </c>
      <c r="J14" s="4" t="str">
        <f aca="false">IF(OR(D14="",H14=""),"",H14-D14)</f>
        <v/>
      </c>
    </row>
    <row r="15" customFormat="false" ht="15" hidden="false" customHeight="false" outlineLevel="0" collapsed="false">
      <c r="A15" s="4" t="n">
        <v>11</v>
      </c>
      <c r="B15" s="5"/>
      <c r="C15" s="5"/>
      <c r="D15" s="4" t="str">
        <f aca="false">IF(COUNT(B15:C15)=0,"",SUM(B15:C15))</f>
        <v/>
      </c>
      <c r="E15" s="4" t="str">
        <f aca="false">IF(D15="","",IF(D15&gt;=17,"متقدم",IF(D15&gt;=12,"متوسط","يحتاج إلى دعم")))</f>
        <v/>
      </c>
      <c r="F15" s="5"/>
      <c r="G15" s="5"/>
      <c r="H15" s="4" t="str">
        <f aca="false">IF(COUNT(F15:G15)=0,"",SUM(F15:G15))</f>
        <v/>
      </c>
      <c r="I15" s="4" t="str">
        <f aca="false">IF(H15="","",IF(H15&gt;=17,"متقدم",IF(H15&gt;=12,"متوسط","يحتاج إلى دعم")))</f>
        <v/>
      </c>
      <c r="J15" s="4" t="str">
        <f aca="false">IF(OR(D15="",H15=""),"",H15-D15)</f>
        <v/>
      </c>
    </row>
    <row r="16" customFormat="false" ht="15" hidden="false" customHeight="false" outlineLevel="0" collapsed="false">
      <c r="A16" s="4" t="n">
        <v>12</v>
      </c>
      <c r="B16" s="5"/>
      <c r="C16" s="5"/>
      <c r="D16" s="4" t="str">
        <f aca="false">IF(COUNT(B16:C16)=0,"",SUM(B16:C16))</f>
        <v/>
      </c>
      <c r="E16" s="4" t="str">
        <f aca="false">IF(D16="","",IF(D16&gt;=17,"متقدم",IF(D16&gt;=12,"متوسط","يحتاج إلى دعم")))</f>
        <v/>
      </c>
      <c r="F16" s="5"/>
      <c r="G16" s="5"/>
      <c r="H16" s="4" t="str">
        <f aca="false">IF(COUNT(F16:G16)=0,"",SUM(F16:G16))</f>
        <v/>
      </c>
      <c r="I16" s="4" t="str">
        <f aca="false">IF(H16="","",IF(H16&gt;=17,"متقدم",IF(H16&gt;=12,"متوسط","يحتاج إلى دعم")))</f>
        <v/>
      </c>
      <c r="J16" s="4" t="str">
        <f aca="false">IF(OR(D16="",H16=""),"",H16-D16)</f>
        <v/>
      </c>
    </row>
    <row r="17" customFormat="false" ht="15" hidden="false" customHeight="false" outlineLevel="0" collapsed="false">
      <c r="A17" s="4" t="n">
        <v>13</v>
      </c>
      <c r="B17" s="5"/>
      <c r="C17" s="5"/>
      <c r="D17" s="4" t="str">
        <f aca="false">IF(COUNT(B17:C17)=0,"",SUM(B17:C17))</f>
        <v/>
      </c>
      <c r="E17" s="4" t="str">
        <f aca="false">IF(D17="","",IF(D17&gt;=17,"متقدم",IF(D17&gt;=12,"متوسط","يحتاج إلى دعم")))</f>
        <v/>
      </c>
      <c r="F17" s="5"/>
      <c r="G17" s="5"/>
      <c r="H17" s="4" t="str">
        <f aca="false">IF(COUNT(F17:G17)=0,"",SUM(F17:G17))</f>
        <v/>
      </c>
      <c r="I17" s="4" t="str">
        <f aca="false">IF(H17="","",IF(H17&gt;=17,"متقدم",IF(H17&gt;=12,"متوسط","يحتاج إلى دعم")))</f>
        <v/>
      </c>
      <c r="J17" s="4" t="str">
        <f aca="false">IF(OR(D17="",H17=""),"",H17-D17)</f>
        <v/>
      </c>
    </row>
    <row r="18" customFormat="false" ht="15" hidden="false" customHeight="false" outlineLevel="0" collapsed="false">
      <c r="A18" s="4" t="n">
        <v>14</v>
      </c>
      <c r="B18" s="5"/>
      <c r="C18" s="5"/>
      <c r="D18" s="4" t="str">
        <f aca="false">IF(COUNT(B18:C18)=0,"",SUM(B18:C18))</f>
        <v/>
      </c>
      <c r="E18" s="4" t="str">
        <f aca="false">IF(D18="","",IF(D18&gt;=17,"متقدم",IF(D18&gt;=12,"متوسط","يحتاج إلى دعم")))</f>
        <v/>
      </c>
      <c r="F18" s="5"/>
      <c r="G18" s="5"/>
      <c r="H18" s="4" t="str">
        <f aca="false">IF(COUNT(F18:G18)=0,"",SUM(F18:G18))</f>
        <v/>
      </c>
      <c r="I18" s="4" t="str">
        <f aca="false">IF(H18="","",IF(H18&gt;=17,"متقدم",IF(H18&gt;=12,"متوسط","يحتاج إلى دعم")))</f>
        <v/>
      </c>
      <c r="J18" s="4" t="str">
        <f aca="false">IF(OR(D18="",H18=""),"",H18-D18)</f>
        <v/>
      </c>
    </row>
    <row r="19" customFormat="false" ht="15" hidden="false" customHeight="false" outlineLevel="0" collapsed="false">
      <c r="A19" s="4" t="n">
        <v>15</v>
      </c>
      <c r="B19" s="5"/>
      <c r="C19" s="5"/>
      <c r="D19" s="4" t="str">
        <f aca="false">IF(COUNT(B19:C19)=0,"",SUM(B19:C19))</f>
        <v/>
      </c>
      <c r="E19" s="4" t="str">
        <f aca="false">IF(D19="","",IF(D19&gt;=17,"متقدم",IF(D19&gt;=12,"متوسط","يحتاج إلى دعم")))</f>
        <v/>
      </c>
      <c r="F19" s="5"/>
      <c r="G19" s="5"/>
      <c r="H19" s="4" t="str">
        <f aca="false">IF(COUNT(F19:G19)=0,"",SUM(F19:G19))</f>
        <v/>
      </c>
      <c r="I19" s="4" t="str">
        <f aca="false">IF(H19="","",IF(H19&gt;=17,"متقدم",IF(H19&gt;=12,"متوسط","يحتاج إلى دعم")))</f>
        <v/>
      </c>
      <c r="J19" s="4" t="str">
        <f aca="false">IF(OR(D19="",H19=""),"",H19-D19)</f>
        <v/>
      </c>
    </row>
    <row r="20" customFormat="false" ht="15" hidden="false" customHeight="false" outlineLevel="0" collapsed="false">
      <c r="A20" s="4" t="n">
        <v>16</v>
      </c>
      <c r="B20" s="5"/>
      <c r="C20" s="5"/>
      <c r="D20" s="4" t="str">
        <f aca="false">IF(COUNT(B20:C20)=0,"",SUM(B20:C20))</f>
        <v/>
      </c>
      <c r="E20" s="4" t="str">
        <f aca="false">IF(D20="","",IF(D20&gt;=17,"متقدم",IF(D20&gt;=12,"متوسط","يحتاج إلى دعم")))</f>
        <v/>
      </c>
      <c r="F20" s="5"/>
      <c r="G20" s="5"/>
      <c r="H20" s="4" t="str">
        <f aca="false">IF(COUNT(F20:G20)=0,"",SUM(F20:G20))</f>
        <v/>
      </c>
      <c r="I20" s="4" t="str">
        <f aca="false">IF(H20="","",IF(H20&gt;=17,"متقدم",IF(H20&gt;=12,"متوسط","يحتاج إلى دعم")))</f>
        <v/>
      </c>
      <c r="J20" s="4" t="str">
        <f aca="false">IF(OR(D20="",H20=""),"",H20-D20)</f>
        <v/>
      </c>
    </row>
    <row r="21" customFormat="false" ht="15" hidden="false" customHeight="false" outlineLevel="0" collapsed="false">
      <c r="A21" s="4" t="n">
        <v>17</v>
      </c>
      <c r="B21" s="5"/>
      <c r="C21" s="5"/>
      <c r="D21" s="4" t="str">
        <f aca="false">IF(COUNT(B21:C21)=0,"",SUM(B21:C21))</f>
        <v/>
      </c>
      <c r="E21" s="4" t="str">
        <f aca="false">IF(D21="","",IF(D21&gt;=17,"متقدم",IF(D21&gt;=12,"متوسط","يحتاج إلى دعم")))</f>
        <v/>
      </c>
      <c r="F21" s="5"/>
      <c r="G21" s="5"/>
      <c r="H21" s="4" t="str">
        <f aca="false">IF(COUNT(F21:G21)=0,"",SUM(F21:G21))</f>
        <v/>
      </c>
      <c r="I21" s="4" t="str">
        <f aca="false">IF(H21="","",IF(H21&gt;=17,"متقدم",IF(H21&gt;=12,"متوسط","يحتاج إلى دعم")))</f>
        <v/>
      </c>
      <c r="J21" s="4" t="str">
        <f aca="false">IF(OR(D21="",H21=""),"",H21-D21)</f>
        <v/>
      </c>
    </row>
    <row r="22" customFormat="false" ht="15" hidden="false" customHeight="false" outlineLevel="0" collapsed="false">
      <c r="A22" s="4" t="n">
        <v>18</v>
      </c>
      <c r="B22" s="5"/>
      <c r="C22" s="5"/>
      <c r="D22" s="4" t="str">
        <f aca="false">IF(COUNT(B22:C22)=0,"",SUM(B22:C22))</f>
        <v/>
      </c>
      <c r="E22" s="4" t="str">
        <f aca="false">IF(D22="","",IF(D22&gt;=17,"متقدم",IF(D22&gt;=12,"متوسط","يحتاج إلى دعم")))</f>
        <v/>
      </c>
      <c r="F22" s="5"/>
      <c r="G22" s="5"/>
      <c r="H22" s="4" t="str">
        <f aca="false">IF(COUNT(F22:G22)=0,"",SUM(F22:G22))</f>
        <v/>
      </c>
      <c r="I22" s="4" t="str">
        <f aca="false">IF(H22="","",IF(H22&gt;=17,"متقدم",IF(H22&gt;=12,"متوسط","يحتاج إلى دعم")))</f>
        <v/>
      </c>
      <c r="J22" s="4" t="str">
        <f aca="false">IF(OR(D22="",H22=""),"",H22-D22)</f>
        <v/>
      </c>
    </row>
    <row r="23" customFormat="false" ht="15" hidden="false" customHeight="false" outlineLevel="0" collapsed="false">
      <c r="A23" s="4" t="n">
        <v>19</v>
      </c>
      <c r="B23" s="5"/>
      <c r="C23" s="5"/>
      <c r="D23" s="4" t="str">
        <f aca="false">IF(COUNT(B23:C23)=0,"",SUM(B23:C23))</f>
        <v/>
      </c>
      <c r="E23" s="4" t="str">
        <f aca="false">IF(D23="","",IF(D23&gt;=17,"متقدم",IF(D23&gt;=12,"متوسط","يحتاج إلى دعم")))</f>
        <v/>
      </c>
      <c r="F23" s="5"/>
      <c r="G23" s="5"/>
      <c r="H23" s="4" t="str">
        <f aca="false">IF(COUNT(F23:G23)=0,"",SUM(F23:G23))</f>
        <v/>
      </c>
      <c r="I23" s="4" t="str">
        <f aca="false">IF(H23="","",IF(H23&gt;=17,"متقدم",IF(H23&gt;=12,"متوسط","يحتاج إلى دعم")))</f>
        <v/>
      </c>
      <c r="J23" s="4" t="str">
        <f aca="false">IF(OR(D23="",H23=""),"",H23-D23)</f>
        <v/>
      </c>
    </row>
    <row r="24" customFormat="false" ht="15" hidden="false" customHeight="false" outlineLevel="0" collapsed="false">
      <c r="A24" s="4" t="n">
        <v>20</v>
      </c>
      <c r="B24" s="5"/>
      <c r="C24" s="5"/>
      <c r="D24" s="4" t="str">
        <f aca="false">IF(COUNT(B24:C24)=0,"",SUM(B24:C24))</f>
        <v/>
      </c>
      <c r="E24" s="4" t="str">
        <f aca="false">IF(D24="","",IF(D24&gt;=17,"متقدم",IF(D24&gt;=12,"متوسط","يحتاج إلى دعم")))</f>
        <v/>
      </c>
      <c r="F24" s="5"/>
      <c r="G24" s="5"/>
      <c r="H24" s="4" t="str">
        <f aca="false">IF(COUNT(F24:G24)=0,"",SUM(F24:G24))</f>
        <v/>
      </c>
      <c r="I24" s="4" t="str">
        <f aca="false">IF(H24="","",IF(H24&gt;=17,"متقدم",IF(H24&gt;=12,"متوسط","يحتاج إلى دعم")))</f>
        <v/>
      </c>
      <c r="J24" s="4" t="str">
        <f aca="false">IF(OR(D24="",H24=""),"",H24-D24)</f>
        <v/>
      </c>
    </row>
    <row r="25" customFormat="false" ht="15" hidden="false" customHeight="false" outlineLevel="0" collapsed="false">
      <c r="A25" s="4" t="n">
        <v>21</v>
      </c>
      <c r="B25" s="5"/>
      <c r="C25" s="5"/>
      <c r="D25" s="4" t="str">
        <f aca="false">IF(COUNT(B25:C25)=0,"",SUM(B25:C25))</f>
        <v/>
      </c>
      <c r="E25" s="4" t="str">
        <f aca="false">IF(D25="","",IF(D25&gt;=17,"متقدم",IF(D25&gt;=12,"متوسط","يحتاج إلى دعم")))</f>
        <v/>
      </c>
      <c r="F25" s="5"/>
      <c r="G25" s="5"/>
      <c r="H25" s="4" t="str">
        <f aca="false">IF(COUNT(F25:G25)=0,"",SUM(F25:G25))</f>
        <v/>
      </c>
      <c r="I25" s="4" t="str">
        <f aca="false">IF(H25="","",IF(H25&gt;=17,"متقدم",IF(H25&gt;=12,"متوسط","يحتاج إلى دعم")))</f>
        <v/>
      </c>
      <c r="J25" s="4" t="str">
        <f aca="false">IF(OR(D25="",H25=""),"",H25-D25)</f>
        <v/>
      </c>
    </row>
    <row r="26" customFormat="false" ht="15" hidden="false" customHeight="false" outlineLevel="0" collapsed="false">
      <c r="A26" s="4" t="n">
        <v>22</v>
      </c>
      <c r="B26" s="5"/>
      <c r="C26" s="5"/>
      <c r="D26" s="4" t="str">
        <f aca="false">IF(COUNT(B26:C26)=0,"",SUM(B26:C26))</f>
        <v/>
      </c>
      <c r="E26" s="4" t="str">
        <f aca="false">IF(D26="","",IF(D26&gt;=17,"متقدم",IF(D26&gt;=12,"متوسط","يحتاج إلى دعم")))</f>
        <v/>
      </c>
      <c r="F26" s="5"/>
      <c r="G26" s="5"/>
      <c r="H26" s="4" t="str">
        <f aca="false">IF(COUNT(F26:G26)=0,"",SUM(F26:G26))</f>
        <v/>
      </c>
      <c r="I26" s="4" t="str">
        <f aca="false">IF(H26="","",IF(H26&gt;=17,"متقدم",IF(H26&gt;=12,"متوسط","يحتاج إلى دعم")))</f>
        <v/>
      </c>
      <c r="J26" s="4" t="str">
        <f aca="false">IF(OR(D26="",H26=""),"",H26-D26)</f>
        <v/>
      </c>
    </row>
    <row r="27" customFormat="false" ht="15" hidden="false" customHeight="false" outlineLevel="0" collapsed="false">
      <c r="A27" s="4" t="n">
        <v>23</v>
      </c>
      <c r="B27" s="5"/>
      <c r="C27" s="5"/>
      <c r="D27" s="4" t="str">
        <f aca="false">IF(COUNT(B27:C27)=0,"",SUM(B27:C27))</f>
        <v/>
      </c>
      <c r="E27" s="4" t="str">
        <f aca="false">IF(D27="","",IF(D27&gt;=17,"متقدم",IF(D27&gt;=12,"متوسط","يحتاج إلى دعم")))</f>
        <v/>
      </c>
      <c r="F27" s="5"/>
      <c r="G27" s="5"/>
      <c r="H27" s="4" t="str">
        <f aca="false">IF(COUNT(F27:G27)=0,"",SUM(F27:G27))</f>
        <v/>
      </c>
      <c r="I27" s="4" t="str">
        <f aca="false">IF(H27="","",IF(H27&gt;=17,"متقدم",IF(H27&gt;=12,"متوسط","يحتاج إلى دعم")))</f>
        <v/>
      </c>
      <c r="J27" s="4" t="str">
        <f aca="false">IF(OR(D27="",H27=""),"",H27-D27)</f>
        <v/>
      </c>
    </row>
    <row r="28" customFormat="false" ht="15" hidden="false" customHeight="false" outlineLevel="0" collapsed="false">
      <c r="A28" s="4" t="n">
        <v>24</v>
      </c>
      <c r="B28" s="5"/>
      <c r="C28" s="5"/>
      <c r="D28" s="4" t="str">
        <f aca="false">IF(COUNT(B28:C28)=0,"",SUM(B28:C28))</f>
        <v/>
      </c>
      <c r="E28" s="4" t="str">
        <f aca="false">IF(D28="","",IF(D28&gt;=17,"متقدم",IF(D28&gt;=12,"متوسط","يحتاج إلى دعم")))</f>
        <v/>
      </c>
      <c r="F28" s="5"/>
      <c r="G28" s="5"/>
      <c r="H28" s="4" t="str">
        <f aca="false">IF(COUNT(F28:G28)=0,"",SUM(F28:G28))</f>
        <v/>
      </c>
      <c r="I28" s="4" t="str">
        <f aca="false">IF(H28="","",IF(H28&gt;=17,"متقدم",IF(H28&gt;=12,"متوسط","يحتاج إلى دعم")))</f>
        <v/>
      </c>
      <c r="J28" s="4" t="str">
        <f aca="false">IF(OR(D28="",H28=""),"",H28-D28)</f>
        <v/>
      </c>
    </row>
    <row r="29" customFormat="false" ht="15" hidden="false" customHeight="false" outlineLevel="0" collapsed="false">
      <c r="A29" s="4" t="n">
        <v>25</v>
      </c>
      <c r="B29" s="5"/>
      <c r="C29" s="5"/>
      <c r="D29" s="4" t="str">
        <f aca="false">IF(COUNT(B29:C29)=0,"",SUM(B29:C29))</f>
        <v/>
      </c>
      <c r="E29" s="4" t="str">
        <f aca="false">IF(D29="","",IF(D29&gt;=17,"متقدم",IF(D29&gt;=12,"متوسط","يحتاج إلى دعم")))</f>
        <v/>
      </c>
      <c r="F29" s="5"/>
      <c r="G29" s="5"/>
      <c r="H29" s="4" t="str">
        <f aca="false">IF(COUNT(F29:G29)=0,"",SUM(F29:G29))</f>
        <v/>
      </c>
      <c r="I29" s="4" t="str">
        <f aca="false">IF(H29="","",IF(H29&gt;=17,"متقدم",IF(H29&gt;=12,"متوسط","يحتاج إلى دعم")))</f>
        <v/>
      </c>
      <c r="J29" s="4" t="str">
        <f aca="false">IF(OR(D29="",H29=""),"",H29-D29)</f>
        <v/>
      </c>
    </row>
    <row r="30" customFormat="false" ht="15" hidden="false" customHeight="false" outlineLevel="0" collapsed="false">
      <c r="A30" s="4" t="n">
        <v>26</v>
      </c>
      <c r="B30" s="5"/>
      <c r="C30" s="5"/>
      <c r="D30" s="4" t="str">
        <f aca="false">IF(COUNT(B30:C30)=0,"",SUM(B30:C30))</f>
        <v/>
      </c>
      <c r="E30" s="4" t="str">
        <f aca="false">IF(D30="","",IF(D30&gt;=17,"متقدم",IF(D30&gt;=12,"متوسط","يحتاج إلى دعم")))</f>
        <v/>
      </c>
      <c r="F30" s="5"/>
      <c r="G30" s="5"/>
      <c r="H30" s="4" t="str">
        <f aca="false">IF(COUNT(F30:G30)=0,"",SUM(F30:G30))</f>
        <v/>
      </c>
      <c r="I30" s="4" t="str">
        <f aca="false">IF(H30="","",IF(H30&gt;=17,"متقدم",IF(H30&gt;=12,"متوسط","يحتاج إلى دعم")))</f>
        <v/>
      </c>
      <c r="J30" s="4" t="str">
        <f aca="false">IF(OR(D30="",H30=""),"",H30-D30)</f>
        <v/>
      </c>
    </row>
    <row r="31" customFormat="false" ht="15" hidden="false" customHeight="false" outlineLevel="0" collapsed="false">
      <c r="A31" s="4" t="n">
        <v>27</v>
      </c>
      <c r="B31" s="5"/>
      <c r="C31" s="5"/>
      <c r="D31" s="4" t="str">
        <f aca="false">IF(COUNT(B31:C31)=0,"",SUM(B31:C31))</f>
        <v/>
      </c>
      <c r="E31" s="4" t="str">
        <f aca="false">IF(D31="","",IF(D31&gt;=17,"متقدم",IF(D31&gt;=12,"متوسط","يحتاج إلى دعم")))</f>
        <v/>
      </c>
      <c r="F31" s="5"/>
      <c r="G31" s="5"/>
      <c r="H31" s="4" t="str">
        <f aca="false">IF(COUNT(F31:G31)=0,"",SUM(F31:G31))</f>
        <v/>
      </c>
      <c r="I31" s="4" t="str">
        <f aca="false">IF(H31="","",IF(H31&gt;=17,"متقدم",IF(H31&gt;=12,"متوسط","يحتاج إلى دعم")))</f>
        <v/>
      </c>
      <c r="J31" s="4" t="str">
        <f aca="false">IF(OR(D31="",H31=""),"",H31-D31)</f>
        <v/>
      </c>
    </row>
    <row r="32" customFormat="false" ht="15" hidden="false" customHeight="false" outlineLevel="0" collapsed="false">
      <c r="A32" s="4" t="n">
        <v>28</v>
      </c>
      <c r="B32" s="5"/>
      <c r="C32" s="5"/>
      <c r="D32" s="4" t="str">
        <f aca="false">IF(COUNT(B32:C32)=0,"",SUM(B32:C32))</f>
        <v/>
      </c>
      <c r="E32" s="4" t="str">
        <f aca="false">IF(D32="","",IF(D32&gt;=17,"متقدم",IF(D32&gt;=12,"متوسط","يحتاج إلى دعم")))</f>
        <v/>
      </c>
      <c r="F32" s="5"/>
      <c r="G32" s="5"/>
      <c r="H32" s="4" t="str">
        <f aca="false">IF(COUNT(F32:G32)=0,"",SUM(F32:G32))</f>
        <v/>
      </c>
      <c r="I32" s="4" t="str">
        <f aca="false">IF(H32="","",IF(H32&gt;=17,"متقدم",IF(H32&gt;=12,"متوسط","يحتاج إلى دعم")))</f>
        <v/>
      </c>
      <c r="J32" s="4" t="str">
        <f aca="false">IF(OR(D32="",H32=""),"",H32-D32)</f>
        <v/>
      </c>
    </row>
    <row r="33" customFormat="false" ht="15" hidden="false" customHeight="false" outlineLevel="0" collapsed="false">
      <c r="A33" s="4" t="n">
        <v>29</v>
      </c>
      <c r="B33" s="5"/>
      <c r="C33" s="5"/>
      <c r="D33" s="4" t="str">
        <f aca="false">IF(COUNT(B33:C33)=0,"",SUM(B33:C33))</f>
        <v/>
      </c>
      <c r="E33" s="4" t="str">
        <f aca="false">IF(D33="","",IF(D33&gt;=17,"متقدم",IF(D33&gt;=12,"متوسط","يحتاج إلى دعم")))</f>
        <v/>
      </c>
      <c r="F33" s="5"/>
      <c r="G33" s="5"/>
      <c r="H33" s="4" t="str">
        <f aca="false">IF(COUNT(F33:G33)=0,"",SUM(F33:G33))</f>
        <v/>
      </c>
      <c r="I33" s="4" t="str">
        <f aca="false">IF(H33="","",IF(H33&gt;=17,"متقدم",IF(H33&gt;=12,"متوسط","يحتاج إلى دعم")))</f>
        <v/>
      </c>
      <c r="J33" s="4" t="str">
        <f aca="false">IF(OR(D33="",H33=""),"",H33-D33)</f>
        <v/>
      </c>
    </row>
    <row r="34" customFormat="false" ht="15" hidden="false" customHeight="false" outlineLevel="0" collapsed="false">
      <c r="A34" s="4" t="n">
        <v>30</v>
      </c>
      <c r="B34" s="5"/>
      <c r="C34" s="5"/>
      <c r="D34" s="4" t="str">
        <f aca="false">IF(COUNT(B34:C34)=0,"",SUM(B34:C34))</f>
        <v/>
      </c>
      <c r="E34" s="4" t="str">
        <f aca="false">IF(D34="","",IF(D34&gt;=17,"متقدم",IF(D34&gt;=12,"متوسط","يحتاج إلى دعم")))</f>
        <v/>
      </c>
      <c r="F34" s="5"/>
      <c r="G34" s="5"/>
      <c r="H34" s="4" t="str">
        <f aca="false">IF(COUNT(F34:G34)=0,"",SUM(F34:G34))</f>
        <v/>
      </c>
      <c r="I34" s="4" t="str">
        <f aca="false">IF(H34="","",IF(H34&gt;=17,"متقدم",IF(H34&gt;=12,"متوسط","يحتاج إلى دعم")))</f>
        <v/>
      </c>
      <c r="J34" s="4" t="str">
        <f aca="false">IF(OR(D34="",H34=""),"",H34-D34)</f>
        <v/>
      </c>
    </row>
    <row r="35" customFormat="false" ht="15" hidden="false" customHeight="false" outlineLevel="0" collapsed="false">
      <c r="A35" s="4" t="n">
        <v>31</v>
      </c>
      <c r="B35" s="5"/>
      <c r="C35" s="5"/>
      <c r="D35" s="4" t="str">
        <f aca="false">IF(COUNT(B35:C35)=0,"",SUM(B35:C35))</f>
        <v/>
      </c>
      <c r="E35" s="4" t="str">
        <f aca="false">IF(D35="","",IF(D35&gt;=17,"متقدم",IF(D35&gt;=12,"متوسط","يحتاج إلى دعم")))</f>
        <v/>
      </c>
      <c r="F35" s="5"/>
      <c r="G35" s="5"/>
      <c r="H35" s="4" t="str">
        <f aca="false">IF(COUNT(F35:G35)=0,"",SUM(F35:G35))</f>
        <v/>
      </c>
      <c r="I35" s="4" t="str">
        <f aca="false">IF(H35="","",IF(H35&gt;=17,"متقدم",IF(H35&gt;=12,"متوسط","يحتاج إلى دعم")))</f>
        <v/>
      </c>
      <c r="J35" s="4" t="str">
        <f aca="false">IF(OR(D35="",H35=""),"",H35-D35)</f>
        <v/>
      </c>
    </row>
    <row r="36" customFormat="false" ht="15" hidden="false" customHeight="false" outlineLevel="0" collapsed="false">
      <c r="A36" s="4" t="n">
        <v>32</v>
      </c>
      <c r="B36" s="5"/>
      <c r="C36" s="5"/>
      <c r="D36" s="4" t="str">
        <f aca="false">IF(COUNT(B36:C36)=0,"",SUM(B36:C36))</f>
        <v/>
      </c>
      <c r="E36" s="4" t="str">
        <f aca="false">IF(D36="","",IF(D36&gt;=17,"متقدم",IF(D36&gt;=12,"متوسط","يحتاج إلى دعم")))</f>
        <v/>
      </c>
      <c r="F36" s="5"/>
      <c r="G36" s="5"/>
      <c r="H36" s="4" t="str">
        <f aca="false">IF(COUNT(F36:G36)=0,"",SUM(F36:G36))</f>
        <v/>
      </c>
      <c r="I36" s="4" t="str">
        <f aca="false">IF(H36="","",IF(H36&gt;=17,"متقدم",IF(H36&gt;=12,"متوسط","يحتاج إلى دعم")))</f>
        <v/>
      </c>
      <c r="J36" s="4" t="str">
        <f aca="false">IF(OR(D36="",H36=""),"",H36-D36)</f>
        <v/>
      </c>
    </row>
    <row r="37" customFormat="false" ht="15" hidden="false" customHeight="false" outlineLevel="0" collapsed="false">
      <c r="A37" s="4" t="n">
        <v>33</v>
      </c>
      <c r="B37" s="5"/>
      <c r="C37" s="5"/>
      <c r="D37" s="4" t="str">
        <f aca="false">IF(COUNT(B37:C37)=0,"",SUM(B37:C37))</f>
        <v/>
      </c>
      <c r="E37" s="4" t="str">
        <f aca="false">IF(D37="","",IF(D37&gt;=17,"متقدم",IF(D37&gt;=12,"متوسط","يحتاج إلى دعم")))</f>
        <v/>
      </c>
      <c r="F37" s="5"/>
      <c r="G37" s="5"/>
      <c r="H37" s="4" t="str">
        <f aca="false">IF(COUNT(F37:G37)=0,"",SUM(F37:G37))</f>
        <v/>
      </c>
      <c r="I37" s="4" t="str">
        <f aca="false">IF(H37="","",IF(H37&gt;=17,"متقدم",IF(H37&gt;=12,"متوسط","يحتاج إلى دعم")))</f>
        <v/>
      </c>
      <c r="J37" s="4" t="str">
        <f aca="false">IF(OR(D37="",H37=""),"",H37-D37)</f>
        <v/>
      </c>
    </row>
    <row r="38" customFormat="false" ht="15" hidden="false" customHeight="false" outlineLevel="0" collapsed="false">
      <c r="A38" s="4" t="n">
        <v>34</v>
      </c>
      <c r="B38" s="5"/>
      <c r="C38" s="5"/>
      <c r="D38" s="4" t="str">
        <f aca="false">IF(COUNT(B38:C38)=0,"",SUM(B38:C38))</f>
        <v/>
      </c>
      <c r="E38" s="4" t="str">
        <f aca="false">IF(D38="","",IF(D38&gt;=17,"متقدم",IF(D38&gt;=12,"متوسط","يحتاج إلى دعم")))</f>
        <v/>
      </c>
      <c r="F38" s="5"/>
      <c r="G38" s="5"/>
      <c r="H38" s="4" t="str">
        <f aca="false">IF(COUNT(F38:G38)=0,"",SUM(F38:G38))</f>
        <v/>
      </c>
      <c r="I38" s="4" t="str">
        <f aca="false">IF(H38="","",IF(H38&gt;=17,"متقدم",IF(H38&gt;=12,"متوسط","يحتاج إلى دعم")))</f>
        <v/>
      </c>
      <c r="J38" s="4" t="str">
        <f aca="false">IF(OR(D38="",H38=""),"",H38-D38)</f>
        <v/>
      </c>
    </row>
    <row r="39" customFormat="false" ht="15" hidden="false" customHeight="false" outlineLevel="0" collapsed="false">
      <c r="A39" s="4" t="n">
        <v>35</v>
      </c>
      <c r="B39" s="5"/>
      <c r="C39" s="5"/>
      <c r="D39" s="4" t="str">
        <f aca="false">IF(COUNT(B39:C39)=0,"",SUM(B39:C39))</f>
        <v/>
      </c>
      <c r="E39" s="4" t="str">
        <f aca="false">IF(D39="","",IF(D39&gt;=17,"متقدم",IF(D39&gt;=12,"متوسط","يحتاج إلى دعم")))</f>
        <v/>
      </c>
      <c r="F39" s="5"/>
      <c r="G39" s="5"/>
      <c r="H39" s="4" t="str">
        <f aca="false">IF(COUNT(F39:G39)=0,"",SUM(F39:G39))</f>
        <v/>
      </c>
      <c r="I39" s="4" t="str">
        <f aca="false">IF(H39="","",IF(H39&gt;=17,"متقدم",IF(H39&gt;=12,"متوسط","يحتاج إلى دعم")))</f>
        <v/>
      </c>
      <c r="J39" s="4" t="str">
        <f aca="false">IF(OR(D39="",H39=""),"",H39-D39)</f>
        <v/>
      </c>
    </row>
  </sheetData>
  <mergeCells count="2">
    <mergeCell ref="A1:J1"/>
    <mergeCell ref="A2:J2"/>
  </mergeCells>
  <dataValidations count="1">
    <dataValidation allowBlank="false" error="الدرجة من ٠ إلى ١٠" errorStyle="stop" errorTitle="درجة غير صحيحة" operator="between" showDropDown="false" showErrorMessage="true" showInputMessage="false" sqref="B5:C39 F5:G39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2"/>
  </cols>
  <sheetData>
    <row r="1" customFormat="false" ht="17.35" hidden="false" customHeight="true" outlineLevel="0" collapsed="false">
      <c r="A1" s="1" t="s">
        <v>12</v>
      </c>
      <c r="B1" s="1"/>
      <c r="C1" s="1"/>
      <c r="D1" s="1"/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</row>
    <row r="4" customFormat="false" ht="15" hidden="false" customHeight="false" outlineLevel="0" collapsed="false">
      <c r="A4" s="6" t="s">
        <v>17</v>
      </c>
      <c r="B4" s="4" t="n">
        <f aca="false">COUNTIF(الدرجات!$E$5:$E$39,A4)</f>
        <v>0</v>
      </c>
      <c r="C4" s="4" t="n">
        <f aca="false">COUNTIF(الدرجات!$I$5:$I$39,A4)</f>
        <v>0</v>
      </c>
      <c r="D4" s="4" t="n">
        <f aca="false">C4-B4</f>
        <v>0</v>
      </c>
    </row>
    <row r="5" customFormat="false" ht="15" hidden="false" customHeight="false" outlineLevel="0" collapsed="false">
      <c r="A5" s="6" t="s">
        <v>18</v>
      </c>
      <c r="B5" s="4" t="n">
        <f aca="false">COUNTIF(الدرجات!$E$5:$E$39,A5)</f>
        <v>0</v>
      </c>
      <c r="C5" s="4" t="n">
        <f aca="false">COUNTIF(الدرجات!$I$5:$I$39,A5)</f>
        <v>1</v>
      </c>
      <c r="D5" s="4" t="n">
        <f aca="false">C5-B5</f>
        <v>1</v>
      </c>
    </row>
    <row r="6" customFormat="false" ht="15" hidden="false" customHeight="false" outlineLevel="0" collapsed="false">
      <c r="A6" s="6" t="s">
        <v>19</v>
      </c>
      <c r="B6" s="4" t="n">
        <f aca="false">COUNTIF(الدرجات!$E$5:$E$39,A6)</f>
        <v>1</v>
      </c>
      <c r="C6" s="4" t="n">
        <f aca="false">COUNTIF(الدرجات!$I$5:$I$39,A6)</f>
        <v>0</v>
      </c>
      <c r="D6" s="4" t="n">
        <f aca="false">C6-B6</f>
        <v>-1</v>
      </c>
    </row>
    <row r="7" customFormat="false" ht="15" hidden="false" customHeight="false" outlineLevel="0" collapsed="false">
      <c r="A7" s="6" t="s">
        <v>20</v>
      </c>
      <c r="B7" s="6" t="n">
        <f aca="false">SUM(B4:B6)</f>
        <v>1</v>
      </c>
      <c r="C7" s="6" t="n">
        <f aca="false">SUM(C4:C6)</f>
        <v>1</v>
      </c>
      <c r="D7" s="6" t="n">
        <f aca="false">C7-B7</f>
        <v>0</v>
      </c>
    </row>
    <row r="9" customFormat="false" ht="15" hidden="false" customHeight="false" outlineLevel="0" collapsed="false">
      <c r="A9" s="3" t="s">
        <v>21</v>
      </c>
      <c r="B9" s="3" t="s">
        <v>22</v>
      </c>
      <c r="C9" s="3" t="s">
        <v>23</v>
      </c>
    </row>
    <row r="10" customFormat="false" ht="15" hidden="false" customHeight="false" outlineLevel="0" collapsed="false">
      <c r="A10" s="6" t="s">
        <v>24</v>
      </c>
      <c r="B10" s="7" t="n">
        <f aca="false">IFERROR(AVERAGE(الدرجات!$D$5:$D$39),"")</f>
        <v>10</v>
      </c>
      <c r="C10" s="7" t="n">
        <f aca="false">IFERROR(AVERAGE(الدرجات!$H$5:$H$39),"")</f>
        <v>15</v>
      </c>
    </row>
    <row r="11" customFormat="false" ht="15" hidden="false" customHeight="false" outlineLevel="0" collapsed="false">
      <c r="A11" s="6" t="s">
        <v>25</v>
      </c>
      <c r="B11" s="7" t="n">
        <f aca="false">IF(COUNT(الدرجات!$D$5:$D$39)=0,"",MAX(الدرجات!$D$5:$D$39))</f>
        <v>10</v>
      </c>
      <c r="C11" s="7" t="n">
        <f aca="false">IF(COUNT(الدرجات!$H$5:$H$39)=0,"",MAX(الدرجات!$H$5:$H$39))</f>
        <v>15</v>
      </c>
    </row>
    <row r="12" customFormat="false" ht="15" hidden="false" customHeight="false" outlineLevel="0" collapsed="false">
      <c r="A12" s="6" t="s">
        <v>26</v>
      </c>
      <c r="B12" s="7" t="n">
        <f aca="false">IF(COUNT(الدرجات!$D$5:$D$39)=0,"",MIN(الدرجات!$D$5:$D$39))</f>
        <v>10</v>
      </c>
      <c r="C12" s="7" t="n">
        <f aca="false">IF(COUNT(الدرجات!$H$5:$H$39)=0,"",MIN(الدرجات!$H$5:$H$39))</f>
        <v>15</v>
      </c>
    </row>
    <row r="13" customFormat="false" ht="15" hidden="false" customHeight="false" outlineLevel="0" collapsed="false">
      <c r="A13" s="6" t="s">
        <v>27</v>
      </c>
      <c r="B13" s="7" t="n">
        <f aca="false">IFERROR(AVERAGE(الدرجات!$B$5:$B$39),"")</f>
        <v>6</v>
      </c>
      <c r="C13" s="7" t="n">
        <f aca="false">IFERROR(AVERAGE(الدرجات!$F$5:$F$39),"")</f>
        <v>8</v>
      </c>
    </row>
    <row r="14" customFormat="false" ht="15" hidden="false" customHeight="false" outlineLevel="0" collapsed="false">
      <c r="A14" s="6" t="s">
        <v>28</v>
      </c>
      <c r="B14" s="7" t="n">
        <f aca="false">IFERROR(AVERAGE(الدرجات!$C$5:$C$39),"")</f>
        <v>4</v>
      </c>
      <c r="C14" s="7" t="n">
        <f aca="false">IFERROR(AVERAGE(الدرجات!$G$5:$G$39),"")</f>
        <v>7</v>
      </c>
    </row>
    <row r="15" customFormat="false" ht="15" hidden="false" customHeight="false" outlineLevel="0" collapsed="false">
      <c r="A15" s="6" t="s">
        <v>29</v>
      </c>
      <c r="B15" s="8" t="n">
        <f aca="false">IFERROR((B4+B5)/B7,"")</f>
        <v>0</v>
      </c>
      <c r="C15" s="8" t="n">
        <f aca="false">IFERROR((C4+C5)/C7,"")</f>
        <v>1</v>
      </c>
    </row>
    <row r="17" customFormat="false" ht="15" hidden="false" customHeight="false" outlineLevel="0" collapsed="false">
      <c r="A17" s="9" t="s">
        <v>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2026-10-06T13:42:43Z</dcterms:created>
  <dc:creator>openpyxl</dc:creator>
  <dc:description/>
  <dc:language>en-US</dc:language>
  <cp:lastModifiedBy/>
  <dcterms:modified xsi:type="dcterms:W3CDTF">2026-10-06T13:42:46Z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